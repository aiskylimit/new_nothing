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s" sheetId="2" state="visible" r:id="rId2"/>
    <sheet name="Results" sheetId="3" state="visible" r:id="rId3"/>
    <sheet name="Main_Table" sheetId="4" state="visible" r:id="rId4"/>
    <sheet name="UMI" sheetId="5" state="visible" r:id="rId5"/>
    <sheet name="Comput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78" customWidth="1" min="2" max="2"/>
  </cols>
  <sheetData>
    <row r="1">
      <c r="A1" s="1" t="inlineStr">
        <is>
          <t>VLM Distillation — Phase-0 Paper Sprint Tracker</t>
        </is>
      </c>
      <c r="B1" s="1" t="inlineStr"/>
    </row>
    <row r="2">
      <c r="A2" s="2" t="inlineStr"/>
      <c r="B2" s="2" t="inlineStr"/>
    </row>
    <row r="3">
      <c r="A3" s="2" t="inlineStr">
        <is>
          <t>Submission target</t>
        </is>
      </c>
      <c r="B3" s="2" t="inlineStr">
        <is>
          <t>ARR May cycle, internal cutoff 2026-05-22</t>
        </is>
      </c>
    </row>
    <row r="4">
      <c r="A4" s="2" t="inlineStr">
        <is>
          <t>Pair</t>
        </is>
      </c>
      <c r="B4" s="2" t="inlineStr">
        <is>
          <t>Qwen/Qwen2.5-VL-7B-Instruct -&gt; Qwen/Qwen2-VL-2B-Instruct</t>
        </is>
      </c>
    </row>
    <row r="5">
      <c r="A5" s="2" t="inlineStr">
        <is>
          <t>Branch</t>
        </is>
      </c>
      <c r="B5" s="2" t="inlineStr">
        <is>
          <t>phase-0-paper-sprint</t>
        </is>
      </c>
    </row>
    <row r="6">
      <c r="A6" s="2" t="inlineStr">
        <is>
          <t>Plan</t>
        </is>
      </c>
      <c r="B6" s="2" t="inlineStr">
        <is>
          <t>phase_0_sprint_plan.md</t>
        </is>
      </c>
    </row>
    <row r="7">
      <c r="A7" s="2" t="inlineStr"/>
      <c r="B7" s="2" t="inlineStr"/>
    </row>
    <row r="8">
      <c r="A8" s="3" t="inlineStr">
        <is>
          <t>Sheet</t>
        </is>
      </c>
      <c r="B8" s="3" t="inlineStr">
        <is>
          <t>What it's for</t>
        </is>
      </c>
    </row>
    <row r="9">
      <c r="A9" s="2" t="inlineStr">
        <is>
          <t>Runs</t>
        </is>
      </c>
      <c r="B9" s="2" t="inlineStr">
        <is>
          <t>One row per training run. Edit status/wall_clock/notes as runs complete. Yellow = planned, Red = ablation.</t>
        </is>
      </c>
    </row>
    <row r="10">
      <c r="A10" s="2" t="inlineStr">
        <is>
          <t>Results</t>
        </is>
      </c>
      <c r="B10" s="2" t="inlineStr">
        <is>
          <t>Long-format (run x benchmark) score table. Fill the `score` column after each VLMEvalKit run.</t>
        </is>
      </c>
    </row>
    <row r="11">
      <c r="A11" s="2" t="inlineStr">
        <is>
          <t>Main_Table</t>
        </is>
      </c>
      <c r="B11" s="2" t="inlineStr">
        <is>
          <t>Pivoted view for the paper. Uses VLOOKUP into Results — DON'T edit cells, edit Results.</t>
        </is>
      </c>
    </row>
    <row r="12">
      <c r="A12" s="2" t="inlineStr">
        <is>
          <t>UMI</t>
        </is>
      </c>
      <c r="B12" s="2" t="inlineStr">
        <is>
          <t>Per-pair Unit-Mismatch Index from scripts/compute_umi.py output. Copy the JSON fields into the row.</t>
        </is>
      </c>
    </row>
    <row r="13">
      <c r="A13" s="2" t="inlineStr">
        <is>
          <t>Compute_Log</t>
        </is>
      </c>
      <c r="B13" s="2" t="inlineStr">
        <is>
          <t>Daily compute &amp; API spend vs the sprint plan. Track to avoid running out of budget mid-week.</t>
        </is>
      </c>
    </row>
    <row r="14">
      <c r="A14" s="2" t="inlineStr"/>
      <c r="B14" s="2" t="inlineStr"/>
    </row>
    <row r="15">
      <c r="A15" s="3" t="inlineStr">
        <is>
          <t>Workflow</t>
        </is>
      </c>
      <c r="B15" s="3" t="inlineStr"/>
    </row>
    <row r="16">
      <c r="A16" s="2" t="inlineStr">
        <is>
          <t>1</t>
        </is>
      </c>
      <c r="B16" s="2" t="inlineStr">
        <is>
          <t>Edit `Runs` to mark a run as in-progress / done.</t>
        </is>
      </c>
    </row>
    <row r="17">
      <c r="A17" s="2" t="inlineStr">
        <is>
          <t>2</t>
        </is>
      </c>
      <c r="B17" s="2" t="inlineStr">
        <is>
          <t>After eval finishes, fill the four/eight/twelve `score` rows for that run in `Results`.</t>
        </is>
      </c>
    </row>
    <row r="18">
      <c r="A18" s="2" t="inlineStr">
        <is>
          <t>3</t>
        </is>
      </c>
      <c r="B18" s="2" t="inlineStr">
        <is>
          <t>`Main_Table` updates automatically. Decide go/no-go at end of Day 6 using `Avg_fast` column.</t>
        </is>
      </c>
    </row>
    <row r="19">
      <c r="A19" s="2" t="inlineStr">
        <is>
          <t>4</t>
        </is>
      </c>
      <c r="B19" s="2" t="inlineStr">
        <is>
          <t>Add new runs by appending to `Runs` AND duplicating its result rows in `Results`.</t>
        </is>
      </c>
    </row>
    <row r="20">
      <c r="A20" s="2" t="inlineStr">
        <is>
          <t>5</t>
        </is>
      </c>
      <c r="B20" s="2" t="inlineStr">
        <is>
          <t>If you change the schema, re-run `python3 scripts/make_experiment_tracker.py` (note: overwrites).</t>
        </is>
      </c>
    </row>
    <row r="21">
      <c r="A21" s="2" t="inlineStr"/>
      <c r="B21" s="2" t="inlineStr"/>
    </row>
    <row r="22">
      <c r="A22" s="2" t="inlineStr">
        <is>
          <t>Decision criterion (from phase_0_sprint_plan.md)</t>
        </is>
      </c>
      <c r="B22" s="2" t="inlineStr"/>
    </row>
    <row r="23">
      <c r="A23" s="3" t="inlineStr">
        <is>
          <t>Submit</t>
        </is>
      </c>
      <c r="B23" s="3" t="inlineStr">
        <is>
          <t>Unit-Aligned &gt;= max(EM-KD-only, SRE-only) - 0.3 pts averaged AND &gt; CE-only avg</t>
        </is>
      </c>
    </row>
    <row r="24">
      <c r="A24" s="2" t="inlineStr">
        <is>
          <t>Reframe</t>
        </is>
      </c>
      <c r="B24" s="2" t="inlineStr">
        <is>
          <t>Unit-Aligned &lt; CE-only -&gt; rewrite as robustness/negative-result paper for a workshop</t>
        </is>
      </c>
    </row>
    <row r="25">
      <c r="A25" s="2" t="inlineStr">
        <is>
          <t>Abandon sprint</t>
        </is>
      </c>
      <c r="B25" s="2" t="inlineStr">
        <is>
          <t>All KD methods &lt; CE-only by &gt;= 1 pt -&gt; add Qwen3-VL pair, target ARR June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42" customWidth="1" min="5" max="5"/>
    <col width="60" customWidth="1" min="6" max="6"/>
    <col width="26" customWidth="1" min="7" max="7"/>
    <col width="26" customWidth="1" min="8" max="8"/>
    <col width="8" customWidth="1" min="9" max="9"/>
    <col width="10" customWidth="1" min="10" max="10"/>
    <col width="8" customWidth="1" min="11" max="11"/>
    <col width="14" customWidth="1" min="12" max="12"/>
    <col width="12" customWidth="1" min="13" max="13"/>
    <col width="8" customWidth="1" min="14" max="14"/>
    <col width="14" customWidth="1" min="15" max="15"/>
    <col width="6" customWidth="1" min="16" max="16"/>
    <col width="9" customWidth="1" min="17" max="17"/>
    <col width="12" customWidth="1" min="18" max="18"/>
    <col width="12" customWidth="1" min="19" max="19"/>
    <col width="12" customWidth="1" min="20" max="20"/>
    <col width="14" customWidth="1" min="21" max="21"/>
    <col width="38" customWidth="1" min="22" max="22"/>
    <col width="10" customWidth="1" min="23" max="23"/>
    <col width="40" customWidth="1" min="24" max="24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category</t>
        </is>
      </c>
      <c r="D1" s="4" t="inlineStr">
        <is>
          <t>kd_loss_type</t>
        </is>
      </c>
      <c r="E1" s="4" t="inlineStr">
        <is>
          <t>extra_args</t>
        </is>
      </c>
      <c r="F1" s="4" t="inlineStr">
        <is>
          <t>script</t>
        </is>
      </c>
      <c r="G1" s="4" t="inlineStr">
        <is>
          <t>teacher</t>
        </is>
      </c>
      <c r="H1" s="4" t="inlineStr">
        <is>
          <t>student</t>
        </is>
      </c>
      <c r="I1" s="4" t="inlineStr">
        <is>
          <t>lora_r</t>
        </is>
      </c>
      <c r="J1" s="4" t="inlineStr">
        <is>
          <t>lora_alpha</t>
        </is>
      </c>
      <c r="K1" s="4" t="inlineStr">
        <is>
          <t>lr</t>
        </is>
      </c>
      <c r="L1" s="4" t="inlineStr">
        <is>
          <t>per_device_bs</t>
        </is>
      </c>
      <c r="M1" s="4" t="inlineStr">
        <is>
          <t>grad_accum</t>
        </is>
      </c>
      <c r="N1" s="4" t="inlineStr">
        <is>
          <t>epochs</t>
        </is>
      </c>
      <c r="O1" s="4" t="inlineStr">
        <is>
          <t>percent_data</t>
        </is>
      </c>
      <c r="P1" s="4" t="inlineStr">
        <is>
          <t>seed</t>
        </is>
      </c>
      <c r="Q1" s="4" t="inlineStr">
        <is>
          <t>max_len</t>
        </is>
      </c>
      <c r="R1" s="4" t="inlineStr">
        <is>
          <t>status</t>
        </is>
      </c>
      <c r="S1" s="4" t="inlineStr">
        <is>
          <t>start_date</t>
        </is>
      </c>
      <c r="T1" s="4" t="inlineStr">
        <is>
          <t>end_date</t>
        </is>
      </c>
      <c r="U1" s="4" t="inlineStr">
        <is>
          <t>wall_clock_h</t>
        </is>
      </c>
      <c r="V1" s="4" t="inlineStr">
        <is>
          <t>ckpt_path</t>
        </is>
      </c>
      <c r="W1" s="4" t="inlineStr">
        <is>
          <t>final_step</t>
        </is>
      </c>
      <c r="X1" s="4" t="inlineStr">
        <is>
          <t>notes</t>
        </is>
      </c>
    </row>
    <row r="2">
      <c r="A2" s="5" t="inlineStr">
        <is>
          <t>ce_only_run1</t>
        </is>
      </c>
      <c r="B2" s="5" t="inlineStr">
        <is>
          <t>CE-only</t>
        </is>
      </c>
      <c r="C2" s="5" t="inlineStr">
        <is>
          <t>baseline</t>
        </is>
      </c>
      <c r="D2" s="5" t="inlineStr">
        <is>
          <t>ce_only</t>
        </is>
      </c>
      <c r="E2" s="5" t="inlineStr"/>
      <c r="F2" s="5" t="inlineStr">
        <is>
          <t>script_train/ce_only/train_qwen25_teacher_7b_qwen2_student_2b_ce_only.sh</t>
        </is>
      </c>
      <c r="G2" s="5" t="inlineStr">
        <is>
          <t>Qwen/Qwen2.5-VL-7B-Instruct</t>
        </is>
      </c>
      <c r="H2" s="5" t="inlineStr">
        <is>
          <t>Qwen/Qwen2-VL-2B-Instruct</t>
        </is>
      </c>
      <c r="I2" s="5" t="n">
        <v>64</v>
      </c>
      <c r="J2" s="5" t="n">
        <v>64</v>
      </c>
      <c r="K2" s="5" t="inlineStr">
        <is>
          <t>1e-5</t>
        </is>
      </c>
      <c r="L2" s="5" t="n">
        <v>1</v>
      </c>
      <c r="M2" s="5" t="n">
        <v>8</v>
      </c>
      <c r="N2" s="5" t="n">
        <v>1</v>
      </c>
      <c r="O2" s="5" t="n">
        <v>0.15</v>
      </c>
      <c r="P2" s="5" t="n">
        <v>1337</v>
      </c>
      <c r="Q2" s="5" t="n">
        <v>2048</v>
      </c>
      <c r="R2" s="5" t="inlineStr">
        <is>
          <t>planned</t>
        </is>
      </c>
      <c r="S2" s="5" t="inlineStr"/>
      <c r="T2" s="5" t="inlineStr"/>
      <c r="U2" s="5" t="inlineStr"/>
      <c r="V2" s="5" t="inlineStr"/>
      <c r="W2" s="5" t="inlineStr"/>
      <c r="X2" s="5" t="inlineStr"/>
    </row>
    <row r="3">
      <c r="A3" s="5" t="inlineStr">
        <is>
          <t>emkd_run1</t>
        </is>
      </c>
      <c r="B3" s="5" t="inlineStr">
        <is>
          <t>EM-KD-only</t>
        </is>
      </c>
      <c r="C3" s="5" t="inlineStr">
        <is>
          <t>single-side</t>
        </is>
      </c>
      <c r="D3" s="5" t="inlineStr">
        <is>
          <t>emkd</t>
        </is>
      </c>
      <c r="E3" s="5" t="inlineStr">
        <is>
          <t>em_kd_alpha=0.5, beta=0.25, gamma=25.0, T=1.0</t>
        </is>
      </c>
      <c r="F3" s="5" t="inlineStr">
        <is>
          <t>script_train/em_kd/train_qwen25_teacher_7b_qwen2_student_2b_emkd.sh</t>
        </is>
      </c>
      <c r="G3" s="5" t="inlineStr">
        <is>
          <t>Qwen/Qwen2.5-VL-7B-Instruct</t>
        </is>
      </c>
      <c r="H3" s="5" t="inlineStr">
        <is>
          <t>Qwen/Qwen2-VL-2B-Instruct</t>
        </is>
      </c>
      <c r="I3" s="5" t="n">
        <v>64</v>
      </c>
      <c r="J3" s="5" t="n">
        <v>64</v>
      </c>
      <c r="K3" s="5" t="inlineStr">
        <is>
          <t>1e-5</t>
        </is>
      </c>
      <c r="L3" s="5" t="n">
        <v>1</v>
      </c>
      <c r="M3" s="5" t="n">
        <v>8</v>
      </c>
      <c r="N3" s="5" t="n">
        <v>1</v>
      </c>
      <c r="O3" s="5" t="n">
        <v>0.15</v>
      </c>
      <c r="P3" s="5" t="n">
        <v>1337</v>
      </c>
      <c r="Q3" s="5" t="n">
        <v>2048</v>
      </c>
      <c r="R3" s="5" t="inlineStr">
        <is>
          <t>planned</t>
        </is>
      </c>
      <c r="S3" s="5" t="inlineStr"/>
      <c r="T3" s="5" t="inlineStr"/>
      <c r="U3" s="5" t="inlineStr"/>
      <c r="V3" s="5" t="inlineStr"/>
      <c r="W3" s="5" t="inlineStr"/>
      <c r="X3" s="5" t="inlineStr"/>
    </row>
    <row r="4">
      <c r="A4" s="5" t="inlineStr">
        <is>
          <t>sre_run1</t>
        </is>
      </c>
      <c r="B4" s="5" t="inlineStr">
        <is>
          <t>SRE-only</t>
        </is>
      </c>
      <c r="C4" s="5" t="inlineStr">
        <is>
          <t>single-side</t>
        </is>
      </c>
      <c r="D4" s="5" t="inlineStr">
        <is>
          <t>sre</t>
        </is>
      </c>
      <c r="E4" s="5" t="inlineStr">
        <is>
          <t>layer_mapping=[27], sre_use_projector=True, sre_geom_loss_weight=50</t>
        </is>
      </c>
      <c r="F4" s="5" t="inlineStr">
        <is>
          <t>script_train/sre/train_qwen25_teacher_7b_qwen2_student_2b_sre.sh</t>
        </is>
      </c>
      <c r="G4" s="5" t="inlineStr">
        <is>
          <t>Qwen/Qwen2.5-VL-7B-Instruct</t>
        </is>
      </c>
      <c r="H4" s="5" t="inlineStr">
        <is>
          <t>Qwen/Qwen2-VL-2B-Instruct</t>
        </is>
      </c>
      <c r="I4" s="5" t="n">
        <v>64</v>
      </c>
      <c r="J4" s="5" t="n">
        <v>64</v>
      </c>
      <c r="K4" s="5" t="inlineStr">
        <is>
          <t>1e-5</t>
        </is>
      </c>
      <c r="L4" s="5" t="n">
        <v>1</v>
      </c>
      <c r="M4" s="5" t="n">
        <v>8</v>
      </c>
      <c r="N4" s="5" t="n">
        <v>1</v>
      </c>
      <c r="O4" s="5" t="n">
        <v>0.15</v>
      </c>
      <c r="P4" s="5" t="n">
        <v>1337</v>
      </c>
      <c r="Q4" s="5" t="n">
        <v>2048</v>
      </c>
      <c r="R4" s="5" t="inlineStr">
        <is>
          <t>planned</t>
        </is>
      </c>
      <c r="S4" s="5" t="inlineStr"/>
      <c r="T4" s="5" t="inlineStr"/>
      <c r="U4" s="5" t="inlineStr"/>
      <c r="V4" s="5" t="inlineStr"/>
      <c r="W4" s="5" t="inlineStr"/>
      <c r="X4" s="5" t="inlineStr"/>
    </row>
    <row r="5">
      <c r="A5" s="5" t="inlineStr">
        <is>
          <t>unit_aligned_run1</t>
        </is>
      </c>
      <c r="B5" s="5" t="inlineStr">
        <is>
          <t>Unit-Aligned</t>
        </is>
      </c>
      <c r="C5" s="5" t="inlineStr">
        <is>
          <t>joint</t>
        </is>
      </c>
      <c r="D5" s="5" t="inlineStr">
        <is>
          <t>unit_aligned</t>
        </is>
      </c>
      <c r="E5" s="5" t="inlineStr">
        <is>
          <t>layer_mapping=[27], joint_ce=0.5, joint_emkd=1.0, joint_sre=1.0</t>
        </is>
      </c>
      <c r="F5" s="5" t="inlineStr">
        <is>
          <t>script_train/unit_aligned/train_qwen25_teacher_7b_qwen2_student_2b_unit_aligned.sh</t>
        </is>
      </c>
      <c r="G5" s="5" t="inlineStr">
        <is>
          <t>Qwen/Qwen2.5-VL-7B-Instruct</t>
        </is>
      </c>
      <c r="H5" s="5" t="inlineStr">
        <is>
          <t>Qwen/Qwen2-VL-2B-Instruct</t>
        </is>
      </c>
      <c r="I5" s="5" t="n">
        <v>64</v>
      </c>
      <c r="J5" s="5" t="n">
        <v>64</v>
      </c>
      <c r="K5" s="5" t="inlineStr">
        <is>
          <t>1e-5</t>
        </is>
      </c>
      <c r="L5" s="5" t="n">
        <v>1</v>
      </c>
      <c r="M5" s="5" t="n">
        <v>8</v>
      </c>
      <c r="N5" s="5" t="n">
        <v>1</v>
      </c>
      <c r="O5" s="5" t="n">
        <v>0.15</v>
      </c>
      <c r="P5" s="5" t="n">
        <v>1337</v>
      </c>
      <c r="Q5" s="5" t="n">
        <v>2048</v>
      </c>
      <c r="R5" s="5" t="inlineStr">
        <is>
          <t>planned</t>
        </is>
      </c>
      <c r="S5" s="5" t="inlineStr"/>
      <c r="T5" s="5" t="inlineStr"/>
      <c r="U5" s="5" t="inlineStr"/>
      <c r="V5" s="5" t="inlineStr"/>
      <c r="W5" s="5" t="inlineStr"/>
      <c r="X5" s="5" t="inlineStr"/>
    </row>
    <row r="6">
      <c r="A6" s="6" t="inlineStr">
        <is>
          <t>unit_aligned_noproj_ablation</t>
        </is>
      </c>
      <c r="B6" s="6" t="inlineStr">
        <is>
          <t>Unit-Aligned (no projector)</t>
        </is>
      </c>
      <c r="C6" s="6" t="inlineStr">
        <is>
          <t>ablation</t>
        </is>
      </c>
      <c r="D6" s="6" t="inlineStr">
        <is>
          <t>unit_aligned</t>
        </is>
      </c>
      <c r="E6" s="6" t="inlineStr">
        <is>
          <t>sre_use_projector=False (fallback to crop)</t>
        </is>
      </c>
      <c r="F6" s="6" t="inlineStr">
        <is>
          <t>script_train/unit_aligned/train_..._unit_aligned.sh + --sre_use_projector false</t>
        </is>
      </c>
      <c r="G6" s="6" t="inlineStr">
        <is>
          <t>Qwen/Qwen2.5-VL-7B-Instruct</t>
        </is>
      </c>
      <c r="H6" s="6" t="inlineStr">
        <is>
          <t>Qwen/Qwen2-VL-2B-Instruct</t>
        </is>
      </c>
      <c r="I6" s="6" t="n">
        <v>64</v>
      </c>
      <c r="J6" s="6" t="n">
        <v>64</v>
      </c>
      <c r="K6" s="6" t="inlineStr">
        <is>
          <t>1e-5</t>
        </is>
      </c>
      <c r="L6" s="6" t="n">
        <v>1</v>
      </c>
      <c r="M6" s="6" t="n">
        <v>8</v>
      </c>
      <c r="N6" s="6" t="n">
        <v>1</v>
      </c>
      <c r="O6" s="6" t="n">
        <v>0.15</v>
      </c>
      <c r="P6" s="6" t="n">
        <v>1337</v>
      </c>
      <c r="Q6" s="6" t="n">
        <v>2048</v>
      </c>
      <c r="R6" s="6" t="inlineStr">
        <is>
          <t>planned</t>
        </is>
      </c>
      <c r="S6" s="6" t="inlineStr"/>
      <c r="T6" s="6" t="inlineStr"/>
      <c r="U6" s="6" t="inlineStr"/>
      <c r="V6" s="6" t="inlineStr"/>
      <c r="W6" s="6" t="inlineStr"/>
      <c r="X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2" customWidth="1" min="4" max="4"/>
    <col width="10" customWidth="1" min="5" max="5"/>
    <col width="12" customWidth="1" min="6" max="6"/>
    <col width="26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>
      <c r="A1" s="4" t="inlineStr">
        <is>
          <t>run_id</t>
        </is>
      </c>
      <c r="B1" s="4" t="inlineStr">
        <is>
          <t>method</t>
        </is>
      </c>
      <c r="C1" s="4" t="inlineStr">
        <is>
          <t>suite</t>
        </is>
      </c>
      <c r="D1" s="4" t="inlineStr">
        <is>
          <t>dataset</t>
        </is>
      </c>
      <c r="E1" s="4" t="inlineStr">
        <is>
          <t>score</t>
        </is>
      </c>
      <c r="F1" s="4" t="inlineStr">
        <is>
          <t>n_samples</t>
        </is>
      </c>
      <c r="G1" s="4" t="inlineStr">
        <is>
          <t>judge_model</t>
        </is>
      </c>
      <c r="H1" s="4" t="inlineStr">
        <is>
          <t>eval_hours</t>
        </is>
      </c>
      <c r="I1" s="4" t="inlineStr">
        <is>
          <t>judge_usd</t>
        </is>
      </c>
      <c r="J1" s="4" t="inlineStr">
        <is>
          <t>eval_date</t>
        </is>
      </c>
      <c r="K1" s="4" t="inlineStr">
        <is>
          <t>notes</t>
        </is>
      </c>
    </row>
    <row r="2">
      <c r="A2" t="inlineStr">
        <is>
          <t>ce_only_run1</t>
        </is>
      </c>
      <c r="B2" t="inlineStr">
        <is>
          <t>CE-only</t>
        </is>
      </c>
      <c r="C2" t="inlineStr">
        <is>
          <t>fast_signal</t>
        </is>
      </c>
      <c r="D2" t="inlineStr">
        <is>
          <t>MMBench_DEV_EN</t>
        </is>
      </c>
    </row>
    <row r="3">
      <c r="A3" t="inlineStr">
        <is>
          <t>ce_only_run1</t>
        </is>
      </c>
      <c r="B3" t="inlineStr">
        <is>
          <t>CE-only</t>
        </is>
      </c>
      <c r="C3" t="inlineStr">
        <is>
          <t>fast_signal</t>
        </is>
      </c>
      <c r="D3" t="inlineStr">
        <is>
          <t>MMStar</t>
        </is>
      </c>
    </row>
    <row r="4">
      <c r="A4" t="inlineStr">
        <is>
          <t>ce_only_run1</t>
        </is>
      </c>
      <c r="B4" t="inlineStr">
        <is>
          <t>CE-only</t>
        </is>
      </c>
      <c r="C4" t="inlineStr">
        <is>
          <t>fast_signal</t>
        </is>
      </c>
      <c r="D4" t="inlineStr">
        <is>
          <t>MMMU_DEV_VAL</t>
        </is>
      </c>
    </row>
    <row r="5">
      <c r="A5" t="inlineStr">
        <is>
          <t>ce_only_run1</t>
        </is>
      </c>
      <c r="B5" t="inlineStr">
        <is>
          <t>CE-only</t>
        </is>
      </c>
      <c r="C5" t="inlineStr">
        <is>
          <t>fast_signal</t>
        </is>
      </c>
      <c r="D5" t="inlineStr">
        <is>
          <t>MathVista_MINI</t>
        </is>
      </c>
    </row>
    <row r="6">
      <c r="A6" t="inlineStr">
        <is>
          <t>emkd_run1</t>
        </is>
      </c>
      <c r="B6" t="inlineStr">
        <is>
          <t>EM-KD-only</t>
        </is>
      </c>
      <c r="C6" t="inlineStr">
        <is>
          <t>fast_signal</t>
        </is>
      </c>
      <c r="D6" t="inlineStr">
        <is>
          <t>MMBench_DEV_EN</t>
        </is>
      </c>
    </row>
    <row r="7">
      <c r="A7" t="inlineStr">
        <is>
          <t>emkd_run1</t>
        </is>
      </c>
      <c r="B7" t="inlineStr">
        <is>
          <t>EM-KD-only</t>
        </is>
      </c>
      <c r="C7" t="inlineStr">
        <is>
          <t>fast_signal</t>
        </is>
      </c>
      <c r="D7" t="inlineStr">
        <is>
          <t>MMStar</t>
        </is>
      </c>
    </row>
    <row r="8">
      <c r="A8" t="inlineStr">
        <is>
          <t>emkd_run1</t>
        </is>
      </c>
      <c r="B8" t="inlineStr">
        <is>
          <t>EM-KD-only</t>
        </is>
      </c>
      <c r="C8" t="inlineStr">
        <is>
          <t>fast_signal</t>
        </is>
      </c>
      <c r="D8" t="inlineStr">
        <is>
          <t>MMMU_DEV_VAL</t>
        </is>
      </c>
    </row>
    <row r="9">
      <c r="A9" t="inlineStr">
        <is>
          <t>emkd_run1</t>
        </is>
      </c>
      <c r="B9" t="inlineStr">
        <is>
          <t>EM-KD-only</t>
        </is>
      </c>
      <c r="C9" t="inlineStr">
        <is>
          <t>fast_signal</t>
        </is>
      </c>
      <c r="D9" t="inlineStr">
        <is>
          <t>MathVista_MINI</t>
        </is>
      </c>
    </row>
    <row r="10">
      <c r="A10" t="inlineStr">
        <is>
          <t>sre_run1</t>
        </is>
      </c>
      <c r="B10" t="inlineStr">
        <is>
          <t>SRE-only</t>
        </is>
      </c>
      <c r="C10" t="inlineStr">
        <is>
          <t>fast_signal</t>
        </is>
      </c>
      <c r="D10" t="inlineStr">
        <is>
          <t>MMBench_DEV_EN</t>
        </is>
      </c>
    </row>
    <row r="11">
      <c r="A11" t="inlineStr">
        <is>
          <t>sre_run1</t>
        </is>
      </c>
      <c r="B11" t="inlineStr">
        <is>
          <t>SRE-only</t>
        </is>
      </c>
      <c r="C11" t="inlineStr">
        <is>
          <t>fast_signal</t>
        </is>
      </c>
      <c r="D11" t="inlineStr">
        <is>
          <t>MMStar</t>
        </is>
      </c>
    </row>
    <row r="12">
      <c r="A12" t="inlineStr">
        <is>
          <t>sre_run1</t>
        </is>
      </c>
      <c r="B12" t="inlineStr">
        <is>
          <t>SRE-only</t>
        </is>
      </c>
      <c r="C12" t="inlineStr">
        <is>
          <t>fast_signal</t>
        </is>
      </c>
      <c r="D12" t="inlineStr">
        <is>
          <t>MMMU_DEV_VAL</t>
        </is>
      </c>
    </row>
    <row r="13">
      <c r="A13" t="inlineStr">
        <is>
          <t>sre_run1</t>
        </is>
      </c>
      <c r="B13" t="inlineStr">
        <is>
          <t>SRE-only</t>
        </is>
      </c>
      <c r="C13" t="inlineStr">
        <is>
          <t>fast_signal</t>
        </is>
      </c>
      <c r="D13" t="inlineStr">
        <is>
          <t>MathVista_MINI</t>
        </is>
      </c>
    </row>
    <row r="14">
      <c r="A14" t="inlineStr">
        <is>
          <t>unit_aligned_run1</t>
        </is>
      </c>
      <c r="B14" t="inlineStr">
        <is>
          <t>Unit-Aligned</t>
        </is>
      </c>
      <c r="C14" t="inlineStr">
        <is>
          <t>fast_signal</t>
        </is>
      </c>
      <c r="D14" t="inlineStr">
        <is>
          <t>MMBench_DEV_EN</t>
        </is>
      </c>
    </row>
    <row r="15">
      <c r="A15" t="inlineStr">
        <is>
          <t>unit_aligned_run1</t>
        </is>
      </c>
      <c r="B15" t="inlineStr">
        <is>
          <t>Unit-Aligned</t>
        </is>
      </c>
      <c r="C15" t="inlineStr">
        <is>
          <t>fast_signal</t>
        </is>
      </c>
      <c r="D15" t="inlineStr">
        <is>
          <t>MMStar</t>
        </is>
      </c>
    </row>
    <row r="16">
      <c r="A16" t="inlineStr">
        <is>
          <t>unit_aligned_run1</t>
        </is>
      </c>
      <c r="B16" t="inlineStr">
        <is>
          <t>Unit-Aligned</t>
        </is>
      </c>
      <c r="C16" t="inlineStr">
        <is>
          <t>fast_signal</t>
        </is>
      </c>
      <c r="D16" t="inlineStr">
        <is>
          <t>MMMU_DEV_VAL</t>
        </is>
      </c>
    </row>
    <row r="17">
      <c r="A17" t="inlineStr">
        <is>
          <t>unit_aligned_run1</t>
        </is>
      </c>
      <c r="B17" t="inlineStr">
        <is>
          <t>Unit-Aligned</t>
        </is>
      </c>
      <c r="C17" t="inlineStr">
        <is>
          <t>fast_signal</t>
        </is>
      </c>
      <c r="D17" t="inlineStr">
        <is>
          <t>MathVista_MINI</t>
        </is>
      </c>
    </row>
    <row r="18">
      <c r="A18" t="inlineStr">
        <is>
          <t>unit_aligned_noproj_ablation</t>
        </is>
      </c>
      <c r="B18" t="inlineStr">
        <is>
          <t>Unit-Aligned (no projector)</t>
        </is>
      </c>
      <c r="C18" t="inlineStr">
        <is>
          <t>fast_signal</t>
        </is>
      </c>
      <c r="D18" t="inlineStr">
        <is>
          <t>MMBench_DEV_EN</t>
        </is>
      </c>
    </row>
    <row r="19">
      <c r="A19" t="inlineStr">
        <is>
          <t>unit_aligned_noproj_ablation</t>
        </is>
      </c>
      <c r="B19" t="inlineStr">
        <is>
          <t>Unit-Aligned (no projector)</t>
        </is>
      </c>
      <c r="C19" t="inlineStr">
        <is>
          <t>fast_signal</t>
        </is>
      </c>
      <c r="D19" t="inlineStr">
        <is>
          <t>MMStar</t>
        </is>
      </c>
    </row>
    <row r="20">
      <c r="A20" t="inlineStr">
        <is>
          <t>unit_aligned_noproj_ablation</t>
        </is>
      </c>
      <c r="B20" t="inlineStr">
        <is>
          <t>Unit-Aligned (no projector)</t>
        </is>
      </c>
      <c r="C20" t="inlineStr">
        <is>
          <t>fast_signal</t>
        </is>
      </c>
      <c r="D20" t="inlineStr">
        <is>
          <t>MMMU_DEV_VAL</t>
        </is>
      </c>
    </row>
    <row r="21">
      <c r="A21" t="inlineStr">
        <is>
          <t>unit_aligned_noproj_ablation</t>
        </is>
      </c>
      <c r="B21" t="inlineStr">
        <is>
          <t>Unit-Aligned (no projector)</t>
        </is>
      </c>
      <c r="C21" t="inlineStr">
        <is>
          <t>fast_signal</t>
        </is>
      </c>
      <c r="D21" t="inlineStr">
        <is>
          <t>MathVista_MINI</t>
        </is>
      </c>
    </row>
    <row r="22">
      <c r="A22" t="inlineStr">
        <is>
          <t>ce_only_run1</t>
        </is>
      </c>
      <c r="B22" t="inlineStr">
        <is>
          <t>CE-only</t>
        </is>
      </c>
      <c r="C22" t="inlineStr">
        <is>
          <t>main_table</t>
        </is>
      </c>
      <c r="D22" t="inlineStr">
        <is>
          <t>MMVet</t>
        </is>
      </c>
    </row>
    <row r="23">
      <c r="A23" t="inlineStr">
        <is>
          <t>ce_only_run1</t>
        </is>
      </c>
      <c r="B23" t="inlineStr">
        <is>
          <t>CE-only</t>
        </is>
      </c>
      <c r="C23" t="inlineStr">
        <is>
          <t>main_table</t>
        </is>
      </c>
      <c r="D23" t="inlineStr">
        <is>
          <t>AI2D_TEST_NO_MASK</t>
        </is>
      </c>
    </row>
    <row r="24">
      <c r="A24" t="inlineStr">
        <is>
          <t>ce_only_run1</t>
        </is>
      </c>
      <c r="B24" t="inlineStr">
        <is>
          <t>CE-only</t>
        </is>
      </c>
      <c r="C24" t="inlineStr">
        <is>
          <t>main_table</t>
        </is>
      </c>
      <c r="D24" t="inlineStr">
        <is>
          <t>ChartQA_TEST</t>
        </is>
      </c>
    </row>
    <row r="25">
      <c r="A25" t="inlineStr">
        <is>
          <t>ce_only_run1</t>
        </is>
      </c>
      <c r="B25" t="inlineStr">
        <is>
          <t>CE-only</t>
        </is>
      </c>
      <c r="C25" t="inlineStr">
        <is>
          <t>main_table</t>
        </is>
      </c>
      <c r="D25" t="inlineStr">
        <is>
          <t>POPE</t>
        </is>
      </c>
    </row>
    <row r="26">
      <c r="A26" t="inlineStr">
        <is>
          <t>emkd_run1</t>
        </is>
      </c>
      <c r="B26" t="inlineStr">
        <is>
          <t>EM-KD-only</t>
        </is>
      </c>
      <c r="C26" t="inlineStr">
        <is>
          <t>main_table</t>
        </is>
      </c>
      <c r="D26" t="inlineStr">
        <is>
          <t>MMVet</t>
        </is>
      </c>
    </row>
    <row r="27">
      <c r="A27" t="inlineStr">
        <is>
          <t>emkd_run1</t>
        </is>
      </c>
      <c r="B27" t="inlineStr">
        <is>
          <t>EM-KD-only</t>
        </is>
      </c>
      <c r="C27" t="inlineStr">
        <is>
          <t>main_table</t>
        </is>
      </c>
      <c r="D27" t="inlineStr">
        <is>
          <t>AI2D_TEST_NO_MASK</t>
        </is>
      </c>
    </row>
    <row r="28">
      <c r="A28" t="inlineStr">
        <is>
          <t>emkd_run1</t>
        </is>
      </c>
      <c r="B28" t="inlineStr">
        <is>
          <t>EM-KD-only</t>
        </is>
      </c>
      <c r="C28" t="inlineStr">
        <is>
          <t>main_table</t>
        </is>
      </c>
      <c r="D28" t="inlineStr">
        <is>
          <t>ChartQA_TEST</t>
        </is>
      </c>
    </row>
    <row r="29">
      <c r="A29" t="inlineStr">
        <is>
          <t>emkd_run1</t>
        </is>
      </c>
      <c r="B29" t="inlineStr">
        <is>
          <t>EM-KD-only</t>
        </is>
      </c>
      <c r="C29" t="inlineStr">
        <is>
          <t>main_table</t>
        </is>
      </c>
      <c r="D29" t="inlineStr">
        <is>
          <t>POPE</t>
        </is>
      </c>
    </row>
    <row r="30">
      <c r="A30" t="inlineStr">
        <is>
          <t>sre_run1</t>
        </is>
      </c>
      <c r="B30" t="inlineStr">
        <is>
          <t>SRE-only</t>
        </is>
      </c>
      <c r="C30" t="inlineStr">
        <is>
          <t>main_table</t>
        </is>
      </c>
      <c r="D30" t="inlineStr">
        <is>
          <t>MMVet</t>
        </is>
      </c>
    </row>
    <row r="31">
      <c r="A31" t="inlineStr">
        <is>
          <t>sre_run1</t>
        </is>
      </c>
      <c r="B31" t="inlineStr">
        <is>
          <t>SRE-only</t>
        </is>
      </c>
      <c r="C31" t="inlineStr">
        <is>
          <t>main_table</t>
        </is>
      </c>
      <c r="D31" t="inlineStr">
        <is>
          <t>AI2D_TEST_NO_MASK</t>
        </is>
      </c>
    </row>
    <row r="32">
      <c r="A32" t="inlineStr">
        <is>
          <t>sre_run1</t>
        </is>
      </c>
      <c r="B32" t="inlineStr">
        <is>
          <t>SRE-only</t>
        </is>
      </c>
      <c r="C32" t="inlineStr">
        <is>
          <t>main_table</t>
        </is>
      </c>
      <c r="D32" t="inlineStr">
        <is>
          <t>ChartQA_TEST</t>
        </is>
      </c>
    </row>
    <row r="33">
      <c r="A33" t="inlineStr">
        <is>
          <t>sre_run1</t>
        </is>
      </c>
      <c r="B33" t="inlineStr">
        <is>
          <t>SRE-only</t>
        </is>
      </c>
      <c r="C33" t="inlineStr">
        <is>
          <t>main_table</t>
        </is>
      </c>
      <c r="D33" t="inlineStr">
        <is>
          <t>POPE</t>
        </is>
      </c>
    </row>
    <row r="34">
      <c r="A34" t="inlineStr">
        <is>
          <t>unit_aligned_run1</t>
        </is>
      </c>
      <c r="B34" t="inlineStr">
        <is>
          <t>Unit-Aligned</t>
        </is>
      </c>
      <c r="C34" t="inlineStr">
        <is>
          <t>main_table</t>
        </is>
      </c>
      <c r="D34" t="inlineStr">
        <is>
          <t>MMVet</t>
        </is>
      </c>
    </row>
    <row r="35">
      <c r="A35" t="inlineStr">
        <is>
          <t>unit_aligned_run1</t>
        </is>
      </c>
      <c r="B35" t="inlineStr">
        <is>
          <t>Unit-Aligned</t>
        </is>
      </c>
      <c r="C35" t="inlineStr">
        <is>
          <t>main_table</t>
        </is>
      </c>
      <c r="D35" t="inlineStr">
        <is>
          <t>AI2D_TEST_NO_MASK</t>
        </is>
      </c>
    </row>
    <row r="36">
      <c r="A36" t="inlineStr">
        <is>
          <t>unit_aligned_run1</t>
        </is>
      </c>
      <c r="B36" t="inlineStr">
        <is>
          <t>Unit-Aligned</t>
        </is>
      </c>
      <c r="C36" t="inlineStr">
        <is>
          <t>main_table</t>
        </is>
      </c>
      <c r="D36" t="inlineStr">
        <is>
          <t>ChartQA_TEST</t>
        </is>
      </c>
    </row>
    <row r="37">
      <c r="A37" t="inlineStr">
        <is>
          <t>unit_aligned_run1</t>
        </is>
      </c>
      <c r="B37" t="inlineStr">
        <is>
          <t>Unit-Aligned</t>
        </is>
      </c>
      <c r="C37" t="inlineStr">
        <is>
          <t>main_table</t>
        </is>
      </c>
      <c r="D37" t="inlineStr">
        <is>
          <t>POPE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>
      <c r="A1" s="7" t="inlineStr">
        <is>
          <t>Main Paper Table (Method x Benchmark)</t>
        </is>
      </c>
    </row>
    <row r="2">
      <c r="A2" s="8" t="inlineStr">
        <is>
          <t>Edit Results sheet; this table refreshes via VLOOKUP. Blank cells mean no result yet.</t>
        </is>
      </c>
    </row>
    <row r="4">
      <c r="A4" s="4" t="inlineStr">
        <is>
          <t>Method</t>
        </is>
      </c>
      <c r="B4" s="4" t="inlineStr">
        <is>
          <t>MMBench_DEV_EN</t>
        </is>
      </c>
      <c r="C4" s="4" t="inlineStr">
        <is>
          <t>MMStar</t>
        </is>
      </c>
      <c r="D4" s="4" t="inlineStr">
        <is>
          <t>MMMU_DEV_VAL</t>
        </is>
      </c>
      <c r="E4" s="4" t="inlineStr">
        <is>
          <t>MathVista_MINI</t>
        </is>
      </c>
      <c r="F4" s="4" t="inlineStr">
        <is>
          <t>MMVet</t>
        </is>
      </c>
      <c r="G4" s="4" t="inlineStr">
        <is>
          <t>AI2D_TEST_NO_MASK</t>
        </is>
      </c>
      <c r="H4" s="4" t="inlineStr">
        <is>
          <t>ChartQA_TEST</t>
        </is>
      </c>
      <c r="I4" s="4" t="inlineStr">
        <is>
          <t>POPE</t>
        </is>
      </c>
      <c r="J4" s="4" t="inlineStr">
        <is>
          <t>Avg_fast (4)</t>
        </is>
      </c>
      <c r="K4" s="4" t="inlineStr">
        <is>
          <t>Avg_main (8)</t>
        </is>
      </c>
    </row>
    <row r="5">
      <c r="A5" t="inlineStr">
        <is>
          <t>CE-only</t>
        </is>
      </c>
      <c r="B5">
        <f>IFERROR(INDEX(Results!$E:$E, MATCH(1, (Results!$A:$A="ce_only_run1")*(Results!$D:$D="MMBench_DEV_EN"), 0)), "")</f>
        <v/>
      </c>
      <c r="C5">
        <f>IFERROR(INDEX(Results!$E:$E, MATCH(1, (Results!$A:$A="ce_only_run1")*(Results!$D:$D="MMStar"), 0)), "")</f>
        <v/>
      </c>
      <c r="D5">
        <f>IFERROR(INDEX(Results!$E:$E, MATCH(1, (Results!$A:$A="ce_only_run1")*(Results!$D:$D="MMMU_DEV_VAL"), 0)), "")</f>
        <v/>
      </c>
      <c r="E5">
        <f>IFERROR(INDEX(Results!$E:$E, MATCH(1, (Results!$A:$A="ce_only_run1")*(Results!$D:$D="MathVista_MINI"), 0)), "")</f>
        <v/>
      </c>
      <c r="F5">
        <f>IFERROR(INDEX(Results!$E:$E, MATCH(1, (Results!$A:$A="ce_only_run1")*(Results!$D:$D="MMVet"), 0)), "")</f>
        <v/>
      </c>
      <c r="G5">
        <f>IFERROR(INDEX(Results!$E:$E, MATCH(1, (Results!$A:$A="ce_only_run1")*(Results!$D:$D="AI2D_TEST_NO_MASK"), 0)), "")</f>
        <v/>
      </c>
      <c r="H5">
        <f>IFERROR(INDEX(Results!$E:$E, MATCH(1, (Results!$A:$A="ce_only_run1")*(Results!$D:$D="ChartQA_TEST"), 0)), "")</f>
        <v/>
      </c>
      <c r="I5">
        <f>IFERROR(INDEX(Results!$E:$E, MATCH(1, (Results!$A:$A="ce_only_run1")*(Results!$D:$D="POPE"), 0)), "")</f>
        <v/>
      </c>
      <c r="J5">
        <f>IFERROR(AVERAGE(B5:E5), "")</f>
        <v/>
      </c>
      <c r="K5">
        <f>IFERROR(AVERAGE(B5:I5), "")</f>
        <v/>
      </c>
    </row>
    <row r="6">
      <c r="A6" t="inlineStr">
        <is>
          <t>EM-KD-only</t>
        </is>
      </c>
      <c r="B6">
        <f>IFERROR(INDEX(Results!$E:$E, MATCH(1, (Results!$A:$A="emkd_run1")*(Results!$D:$D="MMBench_DEV_EN"), 0)), "")</f>
        <v/>
      </c>
      <c r="C6">
        <f>IFERROR(INDEX(Results!$E:$E, MATCH(1, (Results!$A:$A="emkd_run1")*(Results!$D:$D="MMStar"), 0)), "")</f>
        <v/>
      </c>
      <c r="D6">
        <f>IFERROR(INDEX(Results!$E:$E, MATCH(1, (Results!$A:$A="emkd_run1")*(Results!$D:$D="MMMU_DEV_VAL"), 0)), "")</f>
        <v/>
      </c>
      <c r="E6">
        <f>IFERROR(INDEX(Results!$E:$E, MATCH(1, (Results!$A:$A="emkd_run1")*(Results!$D:$D="MathVista_MINI"), 0)), "")</f>
        <v/>
      </c>
      <c r="F6">
        <f>IFERROR(INDEX(Results!$E:$E, MATCH(1, (Results!$A:$A="emkd_run1")*(Results!$D:$D="MMVet"), 0)), "")</f>
        <v/>
      </c>
      <c r="G6">
        <f>IFERROR(INDEX(Results!$E:$E, MATCH(1, (Results!$A:$A="emkd_run1")*(Results!$D:$D="AI2D_TEST_NO_MASK"), 0)), "")</f>
        <v/>
      </c>
      <c r="H6">
        <f>IFERROR(INDEX(Results!$E:$E, MATCH(1, (Results!$A:$A="emkd_run1")*(Results!$D:$D="ChartQA_TEST"), 0)), "")</f>
        <v/>
      </c>
      <c r="I6">
        <f>IFERROR(INDEX(Results!$E:$E, MATCH(1, (Results!$A:$A="emkd_run1")*(Results!$D:$D="POPE"), 0)), "")</f>
        <v/>
      </c>
      <c r="J6">
        <f>IFERROR(AVERAGE(B6:E6), "")</f>
        <v/>
      </c>
      <c r="K6">
        <f>IFERROR(AVERAGE(B6:I6), "")</f>
        <v/>
      </c>
    </row>
    <row r="7">
      <c r="A7" t="inlineStr">
        <is>
          <t>SRE-only</t>
        </is>
      </c>
      <c r="B7">
        <f>IFERROR(INDEX(Results!$E:$E, MATCH(1, (Results!$A:$A="sre_run1")*(Results!$D:$D="MMBench_DEV_EN"), 0)), "")</f>
        <v/>
      </c>
      <c r="C7">
        <f>IFERROR(INDEX(Results!$E:$E, MATCH(1, (Results!$A:$A="sre_run1")*(Results!$D:$D="MMStar"), 0)), "")</f>
        <v/>
      </c>
      <c r="D7">
        <f>IFERROR(INDEX(Results!$E:$E, MATCH(1, (Results!$A:$A="sre_run1")*(Results!$D:$D="MMMU_DEV_VAL"), 0)), "")</f>
        <v/>
      </c>
      <c r="E7">
        <f>IFERROR(INDEX(Results!$E:$E, MATCH(1, (Results!$A:$A="sre_run1")*(Results!$D:$D="MathVista_MINI"), 0)), "")</f>
        <v/>
      </c>
      <c r="F7">
        <f>IFERROR(INDEX(Results!$E:$E, MATCH(1, (Results!$A:$A="sre_run1")*(Results!$D:$D="MMVet"), 0)), "")</f>
        <v/>
      </c>
      <c r="G7">
        <f>IFERROR(INDEX(Results!$E:$E, MATCH(1, (Results!$A:$A="sre_run1")*(Results!$D:$D="AI2D_TEST_NO_MASK"), 0)), "")</f>
        <v/>
      </c>
      <c r="H7">
        <f>IFERROR(INDEX(Results!$E:$E, MATCH(1, (Results!$A:$A="sre_run1")*(Results!$D:$D="ChartQA_TEST"), 0)), "")</f>
        <v/>
      </c>
      <c r="I7">
        <f>IFERROR(INDEX(Results!$E:$E, MATCH(1, (Results!$A:$A="sre_run1")*(Results!$D:$D="POPE"), 0)), "")</f>
        <v/>
      </c>
      <c r="J7">
        <f>IFERROR(AVERAGE(B7:E7), "")</f>
        <v/>
      </c>
      <c r="K7">
        <f>IFERROR(AVERAGE(B7:I7), "")</f>
        <v/>
      </c>
    </row>
    <row r="8">
      <c r="A8" t="inlineStr">
        <is>
          <t>Unit-Aligned</t>
        </is>
      </c>
      <c r="B8">
        <f>IFERROR(INDEX(Results!$E:$E, MATCH(1, (Results!$A:$A="unit_aligned_run1")*(Results!$D:$D="MMBench_DEV_EN"), 0)), "")</f>
        <v/>
      </c>
      <c r="C8">
        <f>IFERROR(INDEX(Results!$E:$E, MATCH(1, (Results!$A:$A="unit_aligned_run1")*(Results!$D:$D="MMStar"), 0)), "")</f>
        <v/>
      </c>
      <c r="D8">
        <f>IFERROR(INDEX(Results!$E:$E, MATCH(1, (Results!$A:$A="unit_aligned_run1")*(Results!$D:$D="MMMU_DEV_VAL"), 0)), "")</f>
        <v/>
      </c>
      <c r="E8">
        <f>IFERROR(INDEX(Results!$E:$E, MATCH(1, (Results!$A:$A="unit_aligned_run1")*(Results!$D:$D="MathVista_MINI"), 0)), "")</f>
        <v/>
      </c>
      <c r="F8">
        <f>IFERROR(INDEX(Results!$E:$E, MATCH(1, (Results!$A:$A="unit_aligned_run1")*(Results!$D:$D="MMVet"), 0)), "")</f>
        <v/>
      </c>
      <c r="G8">
        <f>IFERROR(INDEX(Results!$E:$E, MATCH(1, (Results!$A:$A="unit_aligned_run1")*(Results!$D:$D="AI2D_TEST_NO_MASK"), 0)), "")</f>
        <v/>
      </c>
      <c r="H8">
        <f>IFERROR(INDEX(Results!$E:$E, MATCH(1, (Results!$A:$A="unit_aligned_run1")*(Results!$D:$D="ChartQA_TEST"), 0)), "")</f>
        <v/>
      </c>
      <c r="I8">
        <f>IFERROR(INDEX(Results!$E:$E, MATCH(1, (Results!$A:$A="unit_aligned_run1")*(Results!$D:$D="POPE"), 0)), "")</f>
        <v/>
      </c>
      <c r="J8">
        <f>IFERROR(AVERAGE(B8:E8), "")</f>
        <v/>
      </c>
      <c r="K8">
        <f>IFERROR(AVERAGE(B8:I8), "")</f>
        <v/>
      </c>
    </row>
    <row r="10">
      <c r="A10" s="9" t="inlineStr">
        <is>
          <t>Delta (Unit-Aligned - max(EM-KD, SRE)) — submit if &gt;= -0.3</t>
        </is>
      </c>
      <c r="B10">
        <f>IFERROR(B8 - MAX(B6, B7), "")</f>
        <v/>
      </c>
      <c r="C10">
        <f>IFERROR(C8 - MAX(C6, C7), "")</f>
        <v/>
      </c>
      <c r="D10">
        <f>IFERROR(D8 - MAX(D6, D7), "")</f>
        <v/>
      </c>
      <c r="E10">
        <f>IFERROR(E8 - MAX(E6, E7), "")</f>
        <v/>
      </c>
      <c r="F10">
        <f>IFERROR(F8 - MAX(F6, F7), "")</f>
        <v/>
      </c>
      <c r="G10">
        <f>IFERROR(G8 - MAX(G6, G7), "")</f>
        <v/>
      </c>
      <c r="H10">
        <f>IFERROR(H8 - MAX(H6, H7), "")</f>
        <v/>
      </c>
      <c r="I10">
        <f>IFERROR(I8 - MAX(I6, I7), "")</f>
        <v/>
      </c>
      <c r="J10">
        <f>IFERROR(J8 - MAX(J6, J7), "")</f>
        <v/>
      </c>
      <c r="K10">
        <f>IFERROR(K8 - MAX(K6, K7), 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8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  <col width="10" customWidth="1" min="10" max="10"/>
    <col width="14" customWidth="1" min="11" max="11"/>
    <col width="12" customWidth="1" min="12" max="12"/>
    <col width="6" customWidth="1" min="13" max="13"/>
    <col width="14" customWidth="1" min="14" max="14"/>
    <col width="36" customWidth="1" min="15" max="15"/>
  </cols>
  <sheetData>
    <row r="1">
      <c r="A1" s="4" t="inlineStr">
        <is>
          <t>pair_name</t>
        </is>
      </c>
      <c r="B1" s="4" t="inlineStr">
        <is>
          <t>teacher</t>
        </is>
      </c>
      <c r="C1" s="4" t="inlineStr">
        <is>
          <t>student</t>
        </is>
      </c>
      <c r="D1" s="4" t="inlineStr">
        <is>
          <t>vocab_jaccard_on_corpus</t>
        </is>
      </c>
      <c r="E1" s="4" t="inlineStr">
        <is>
          <t>student_vocab_used</t>
        </is>
      </c>
      <c r="F1" s="4" t="inlineStr">
        <is>
          <t>teacher_vocab_used</t>
        </is>
      </c>
      <c r="G1" s="4" t="inlineStr">
        <is>
          <t>vision_token_ratio_mean</t>
        </is>
      </c>
      <c r="H1" s="4" t="inlineStr">
        <is>
          <t>umi_text_component</t>
        </is>
      </c>
      <c r="I1" s="4" t="inlineStr">
        <is>
          <t>umi_vision_component</t>
        </is>
      </c>
      <c r="J1" s="4" t="inlineStr">
        <is>
          <t>umi</t>
        </is>
      </c>
      <c r="K1" s="4" t="inlineStr">
        <is>
          <t>response_sample</t>
        </is>
      </c>
      <c r="L1" s="4" t="inlineStr">
        <is>
          <t>image_sample</t>
        </is>
      </c>
      <c r="M1" s="4" t="inlineStr">
        <is>
          <t>seed</t>
        </is>
      </c>
      <c r="N1" s="4" t="inlineStr">
        <is>
          <t>computed_date</t>
        </is>
      </c>
      <c r="O1" s="4" t="inlineStr">
        <is>
          <t>notes</t>
        </is>
      </c>
    </row>
    <row r="2">
      <c r="A2" t="inlineStr">
        <is>
          <t>qwen25_to_qwen2</t>
        </is>
      </c>
      <c r="B2" t="inlineStr">
        <is>
          <t>Qwen/Qwen2.5-VL-7B-Instruct</t>
        </is>
      </c>
      <c r="C2" t="inlineStr">
        <is>
          <t>Qwen/Qwen2-VL-2B-Instruct</t>
        </is>
      </c>
    </row>
    <row r="4">
      <c r="A4" s="8" t="inlineStr">
        <is>
          <t>(future pairs for ARR June: Qwen3-VL-8B-&gt;Qwen2.5-VL-3B, LLaVA-OV-7B-&gt;Qwen2.5-VL-3B)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6" customWidth="1" min="3" max="3"/>
    <col width="56" customWidth="1" min="4" max="4"/>
    <col width="16" customWidth="1" min="5" max="5"/>
    <col width="18" customWidth="1" min="6" max="6"/>
    <col width="14" customWidth="1" min="7" max="7"/>
    <col width="18" customWidth="1" min="8" max="8"/>
    <col width="26" customWidth="1" min="9" max="9"/>
    <col width="36" customWidth="1" min="10" max="10"/>
  </cols>
  <sheetData>
    <row r="1">
      <c r="A1" s="4" t="inlineStr">
        <is>
          <t>date</t>
        </is>
      </c>
      <c r="B1" s="4" t="inlineStr">
        <is>
          <t>day_num</t>
        </is>
      </c>
      <c r="C1" s="4" t="inlineStr">
        <is>
          <t>planned_task</t>
        </is>
      </c>
      <c r="D1" s="4" t="inlineStr">
        <is>
          <t>actual_task</t>
        </is>
      </c>
      <c r="E1" s="4" t="inlineStr">
        <is>
          <t>gpu_hours_used_today</t>
        </is>
      </c>
      <c r="F1" s="4" t="inlineStr">
        <is>
          <t>gpu_hours_cumulative</t>
        </is>
      </c>
      <c r="G1" s="4" t="inlineStr">
        <is>
          <t>judge_usd_today</t>
        </is>
      </c>
      <c r="H1" s="4" t="inlineStr">
        <is>
          <t>judge_usd_cumulative</t>
        </is>
      </c>
      <c r="I1" s="4" t="inlineStr">
        <is>
          <t>blocker</t>
        </is>
      </c>
      <c r="J1" s="4" t="inlineStr">
        <is>
          <t>notes</t>
        </is>
      </c>
    </row>
    <row r="2">
      <c r="A2" t="inlineStr">
        <is>
          <t>2026-05-15</t>
        </is>
      </c>
      <c r="B2" t="n">
        <v>1</v>
      </c>
      <c r="C2" t="inlineStr">
        <is>
          <t>Code fixes + UMI computation + paper skeleton stub</t>
        </is>
      </c>
      <c r="F2">
        <f>SUM($E$2:E2)</f>
        <v/>
      </c>
      <c r="H2">
        <f>SUM($G$2:G2)</f>
        <v/>
      </c>
    </row>
    <row r="3">
      <c r="A3" t="inlineStr">
        <is>
          <t>2026-05-16</t>
        </is>
      </c>
      <c r="B3" t="n">
        <v>2</v>
      </c>
      <c r="C3" t="inlineStr">
        <is>
          <t>Teacher logit cache + CE-only training launch + paper skeleton</t>
        </is>
      </c>
      <c r="F3">
        <f>SUM($E$2:E3)</f>
        <v/>
      </c>
      <c r="H3">
        <f>SUM($G$2:G3)</f>
        <v/>
      </c>
    </row>
    <row r="4">
      <c r="A4" t="inlineStr">
        <is>
          <t>2026-05-17</t>
        </is>
      </c>
      <c r="B4" t="n">
        <v>3</v>
      </c>
      <c r="C4" t="inlineStr">
        <is>
          <t>EM-KD-only training launch + VLMEvalKit setup</t>
        </is>
      </c>
      <c r="F4">
        <f>SUM($E$2:E4)</f>
        <v/>
      </c>
      <c r="H4">
        <f>SUM($G$2:G4)</f>
        <v/>
      </c>
    </row>
    <row r="5">
      <c r="A5" t="inlineStr">
        <is>
          <t>2026-05-18</t>
        </is>
      </c>
      <c r="B5" t="n">
        <v>4</v>
      </c>
      <c r="C5" t="inlineStr">
        <is>
          <t>SRE-only training launch + CE-only fast_signal eval</t>
        </is>
      </c>
      <c r="F5">
        <f>SUM($E$2:E5)</f>
        <v/>
      </c>
      <c r="H5">
        <f>SUM($G$2:G5)</f>
        <v/>
      </c>
    </row>
    <row r="6">
      <c r="A6" t="inlineStr">
        <is>
          <t>2026-05-19</t>
        </is>
      </c>
      <c r="B6" t="n">
        <v>5</v>
      </c>
      <c r="C6" t="inlineStr">
        <is>
          <t>Unit-Aligned training launch + EM-KD-only fast_signal eval</t>
        </is>
      </c>
      <c r="F6">
        <f>SUM($E$2:E6)</f>
        <v/>
      </c>
      <c r="H6">
        <f>SUM($G$2:G6)</f>
        <v/>
      </c>
    </row>
    <row r="7">
      <c r="A7" t="inlineStr">
        <is>
          <t>2026-05-20</t>
        </is>
      </c>
      <c r="B7" t="n">
        <v>6</v>
      </c>
      <c r="C7" t="inlineStr">
        <is>
          <t>Unit-Aligned eval + SRE-only eval + ablation run</t>
        </is>
      </c>
      <c r="F7">
        <f>SUM($E$2:E7)</f>
        <v/>
      </c>
      <c r="H7">
        <f>SUM($G$2:G7)</f>
        <v/>
      </c>
    </row>
    <row r="8">
      <c r="A8" t="inlineStr">
        <is>
          <t>2026-05-21</t>
        </is>
      </c>
      <c r="B8" t="n">
        <v>7</v>
      </c>
      <c r="C8" t="inlineStr">
        <is>
          <t>Tables + write results/discussion + camera-ready polish</t>
        </is>
      </c>
      <c r="F8">
        <f>SUM($E$2:E8)</f>
        <v/>
      </c>
      <c r="H8">
        <f>SUM($G$2:G8)</f>
        <v/>
      </c>
    </row>
    <row r="9">
      <c r="A9" t="inlineStr">
        <is>
          <t>2026-05-22</t>
        </is>
      </c>
      <c r="B9" t="n">
        <v>8</v>
      </c>
      <c r="C9" t="inlineStr">
        <is>
          <t>Final reproducibility check + SUBMIT</t>
        </is>
      </c>
      <c r="F9">
        <f>SUM($E$2:E9)</f>
        <v/>
      </c>
      <c r="H9">
        <f>SUM($G$2:G9)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2026-05-15T05:42:50Z</dcterms:created>
  <dcterms:modified xsi:type="dcterms:W3CDTF">2026-05-15T05:42:50Z</dcterms:modified>
</cp:coreProperties>
</file>